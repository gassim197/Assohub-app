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ttes et dépenses" sheetId="1" state="visible" r:id="rId3"/>
    <sheet name="Recouvreme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Excédent 2025 approuvé par l'AG du 17/01/2026 (source : PV de l'AG).</t>
        </r>
      </text>
    </comment>
  </commentList>
</comments>
</file>

<file path=xl/sharedStrings.xml><?xml version="1.0" encoding="utf-8"?>
<sst xmlns="http://schemas.openxmlformats.org/spreadsheetml/2006/main" count="39" uniqueCount="33">
  <si>
    <t xml:space="preserve">REFEM — Rapport financier du 1er semestre 2026</t>
  </si>
  <si>
    <t xml:space="preserve">Montants en francs guinéens (GNF). Document fictif — données de démonstration AssoHub</t>
  </si>
  <si>
    <t xml:space="preserve">Solde de trésorerie au 1er janvier 2026</t>
  </si>
  <si>
    <t xml:space="preserve">Poste</t>
  </si>
  <si>
    <t xml:space="preserve">Janv.</t>
  </si>
  <si>
    <t xml:space="preserve">Févr.</t>
  </si>
  <si>
    <t xml:space="preserve">Mars</t>
  </si>
  <si>
    <t xml:space="preserve">Avr.</t>
  </si>
  <si>
    <t xml:space="preserve">Mai</t>
  </si>
  <si>
    <t xml:space="preserve">Juin</t>
  </si>
  <si>
    <t xml:space="preserve">Total S1</t>
  </si>
  <si>
    <t xml:space="preserve">RECETTES</t>
  </si>
  <si>
    <t xml:space="preserve">Cotisations mensuelles</t>
  </si>
  <si>
    <t xml:space="preserve">Droits d'adhésion</t>
  </si>
  <si>
    <t xml:space="preserve">Total recettes</t>
  </si>
  <si>
    <t xml:space="preserve">DÉPENSES</t>
  </si>
  <si>
    <t xml:space="preserve">Location de salle</t>
  </si>
  <si>
    <t xml:space="preserve">Collations et réunions</t>
  </si>
  <si>
    <t xml:space="preserve">Formations et activités</t>
  </si>
  <si>
    <t xml:space="preserve">Fournitures</t>
  </si>
  <si>
    <t xml:space="preserve">Transport et communication</t>
  </si>
  <si>
    <t xml:space="preserve">Total dépenses</t>
  </si>
  <si>
    <t xml:space="preserve">Résultat du mois</t>
  </si>
  <si>
    <t xml:space="preserve">Solde de trésorerie en fin de mois</t>
  </si>
  <si>
    <t xml:space="preserve">Taux de recouvrement des cotisations — S1 2026</t>
  </si>
  <si>
    <t xml:space="preserve">Cotisation mensuelle (GNF)</t>
  </si>
  <si>
    <t xml:space="preserve">Mois</t>
  </si>
  <si>
    <t xml:space="preserve">Membres redevables</t>
  </si>
  <si>
    <t xml:space="preserve">Montant attendu</t>
  </si>
  <si>
    <t xml:space="preserve">Montant perçu</t>
  </si>
  <si>
    <t xml:space="preserve">Taux</t>
  </si>
  <si>
    <t xml:space="preserve">Semestre</t>
  </si>
  <si>
    <t xml:space="preserve">Membres redevables : membres actives au 1er du mois (hors suspendues et démissionnaires).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</si>
</sst>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7A53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B7A53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7A53"/>
        <bgColor rgb="FF008080"/>
      </patternFill>
    </fill>
    <fill>
      <patternFill patternType="solid">
        <fgColor rgb="FFEAF3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53"/>
      <rgbColor rgb="FFC0C0C0"/>
      <rgbColor rgb="FF777777"/>
      <rgbColor rgb="FF9999FF"/>
      <rgbColor rgb="FF993366"/>
      <rgbColor rgb="FFEAF3EE"/>
      <rgbColor rgb="FFCCFFFF"/>
      <rgbColor rgb="FF660066"/>
      <rgbColor rgb="FFFF8080"/>
      <rgbColor rgb="FF0066CC"/>
      <rgbColor rgb="FFD0D7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5040000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customFormat="false" ht="15" hidden="false" customHeight="false" outlineLevel="0" collapsed="false">
      <c r="A7" s="8" t="s">
        <v>11</v>
      </c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10" t="s">
        <v>12</v>
      </c>
      <c r="B8" s="11" t="n">
        <v>1350000</v>
      </c>
      <c r="C8" s="11" t="n">
        <v>1500000</v>
      </c>
      <c r="D8" s="11" t="n">
        <v>1550000</v>
      </c>
      <c r="E8" s="11" t="n">
        <v>1500000</v>
      </c>
      <c r="F8" s="11" t="n">
        <v>1600000</v>
      </c>
      <c r="G8" s="11" t="n">
        <v>1600000</v>
      </c>
      <c r="H8" s="12" t="n">
        <f aca="false">SUM(B8:G8)</f>
        <v>9100000</v>
      </c>
    </row>
    <row r="9" customFormat="false" ht="15" hidden="false" customHeight="false" outlineLevel="0" collapsed="false">
      <c r="A9" s="10" t="s">
        <v>13</v>
      </c>
      <c r="B9" s="11" t="n">
        <v>200000</v>
      </c>
      <c r="C9" s="11" t="n">
        <v>100000</v>
      </c>
      <c r="D9" s="11" t="n">
        <v>0</v>
      </c>
      <c r="E9" s="11" t="n">
        <v>100000</v>
      </c>
      <c r="F9" s="11" t="n">
        <v>200000</v>
      </c>
      <c r="G9" s="11" t="n">
        <v>100000</v>
      </c>
      <c r="H9" s="12" t="n">
        <f aca="false">SUM(B9:G9)</f>
        <v>700000</v>
      </c>
    </row>
    <row r="10" customFormat="false" ht="15" hidden="false" customHeight="false" outlineLevel="0" collapsed="false">
      <c r="A10" s="13" t="s">
        <v>14</v>
      </c>
      <c r="B10" s="14" t="n">
        <f aca="false">SUM(B8:B9)</f>
        <v>1550000</v>
      </c>
      <c r="C10" s="14" t="n">
        <f aca="false">SUM(C8:C9)</f>
        <v>1600000</v>
      </c>
      <c r="D10" s="14" t="n">
        <f aca="false">SUM(D8:D9)</f>
        <v>1550000</v>
      </c>
      <c r="E10" s="14" t="n">
        <f aca="false">SUM(E8:E9)</f>
        <v>1600000</v>
      </c>
      <c r="F10" s="14" t="n">
        <f aca="false">SUM(F8:F9)</f>
        <v>1800000</v>
      </c>
      <c r="G10" s="14" t="n">
        <f aca="false">SUM(G8:G9)</f>
        <v>1700000</v>
      </c>
      <c r="H10" s="14" t="n">
        <f aca="false">SUM(H8:H9)</f>
        <v>9800000</v>
      </c>
    </row>
    <row r="11" customFormat="false" ht="15" hidden="false" customHeight="false" outlineLevel="0" collapsed="false">
      <c r="A11" s="15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8" t="s">
        <v>15</v>
      </c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10" t="s">
        <v>16</v>
      </c>
      <c r="B13" s="11" t="n">
        <v>750000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2" t="n">
        <f aca="false">SUM(B13:G13)</f>
        <v>750000</v>
      </c>
    </row>
    <row r="14" customFormat="false" ht="15" hidden="false" customHeight="false" outlineLevel="0" collapsed="false">
      <c r="A14" s="10" t="s">
        <v>17</v>
      </c>
      <c r="B14" s="11" t="n">
        <v>450000</v>
      </c>
      <c r="C14" s="11" t="n">
        <v>150000</v>
      </c>
      <c r="D14" s="11" t="n">
        <v>150000</v>
      </c>
      <c r="E14" s="11" t="n">
        <v>250000</v>
      </c>
      <c r="F14" s="11" t="n">
        <v>150000</v>
      </c>
      <c r="G14" s="11" t="n">
        <v>150000</v>
      </c>
      <c r="H14" s="12" t="n">
        <f aca="false">SUM(B14:G14)</f>
        <v>1300000</v>
      </c>
    </row>
    <row r="15" customFormat="false" ht="15" hidden="false" customHeight="false" outlineLevel="0" collapsed="false">
      <c r="A15" s="10" t="s">
        <v>18</v>
      </c>
      <c r="B15" s="11" t="n">
        <v>0</v>
      </c>
      <c r="C15" s="11" t="n">
        <v>380000</v>
      </c>
      <c r="D15" s="11" t="n">
        <v>0</v>
      </c>
      <c r="E15" s="11" t="n">
        <v>0</v>
      </c>
      <c r="F15" s="11" t="n">
        <v>380000</v>
      </c>
      <c r="G15" s="11" t="n">
        <v>0</v>
      </c>
      <c r="H15" s="12" t="n">
        <f aca="false">SUM(B15:G15)</f>
        <v>760000</v>
      </c>
    </row>
    <row r="16" customFormat="false" ht="15" hidden="false" customHeight="false" outlineLevel="0" collapsed="false">
      <c r="A16" s="10" t="s">
        <v>19</v>
      </c>
      <c r="B16" s="11" t="n">
        <v>120000</v>
      </c>
      <c r="C16" s="11" t="n">
        <v>50000</v>
      </c>
      <c r="D16" s="11" t="n">
        <v>0</v>
      </c>
      <c r="E16" s="11" t="n">
        <v>80000</v>
      </c>
      <c r="F16" s="11" t="n">
        <v>40000</v>
      </c>
      <c r="G16" s="11" t="n">
        <v>40000</v>
      </c>
      <c r="H16" s="12" t="n">
        <f aca="false">SUM(B16:G16)</f>
        <v>330000</v>
      </c>
    </row>
    <row r="17" customFormat="false" ht="15" hidden="false" customHeight="false" outlineLevel="0" collapsed="false">
      <c r="A17" s="10" t="s">
        <v>20</v>
      </c>
      <c r="B17" s="11" t="n">
        <v>80000</v>
      </c>
      <c r="C17" s="11" t="n">
        <v>60000</v>
      </c>
      <c r="D17" s="11" t="n">
        <v>60000</v>
      </c>
      <c r="E17" s="11" t="n">
        <v>60000</v>
      </c>
      <c r="F17" s="11" t="n">
        <v>60000</v>
      </c>
      <c r="G17" s="11" t="n">
        <v>60000</v>
      </c>
      <c r="H17" s="12" t="n">
        <f aca="false">SUM(B17:G17)</f>
        <v>380000</v>
      </c>
    </row>
    <row r="18" customFormat="false" ht="15" hidden="false" customHeight="false" outlineLevel="0" collapsed="false">
      <c r="A18" s="13" t="s">
        <v>21</v>
      </c>
      <c r="B18" s="14" t="n">
        <f aca="false">SUM(B13:B17)</f>
        <v>1400000</v>
      </c>
      <c r="C18" s="14" t="n">
        <f aca="false">SUM(C13:C17)</f>
        <v>640000</v>
      </c>
      <c r="D18" s="14" t="n">
        <f aca="false">SUM(D13:D17)</f>
        <v>210000</v>
      </c>
      <c r="E18" s="14" t="n">
        <f aca="false">SUM(E13:E17)</f>
        <v>390000</v>
      </c>
      <c r="F18" s="14" t="n">
        <f aca="false">SUM(F13:F17)</f>
        <v>630000</v>
      </c>
      <c r="G18" s="14" t="n">
        <f aca="false">SUM(G13:G17)</f>
        <v>250000</v>
      </c>
      <c r="H18" s="14" t="n">
        <f aca="false">SUM(H13:H17)</f>
        <v>3520000</v>
      </c>
    </row>
    <row r="19" customFormat="false" ht="15" hidden="false" customHeight="false" outlineLevel="0" collapsed="false">
      <c r="A19" s="15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16" t="s">
        <v>22</v>
      </c>
      <c r="B20" s="12" t="n">
        <f aca="false">B10-B18</f>
        <v>150000</v>
      </c>
      <c r="C20" s="12" t="n">
        <f aca="false">C10-C18</f>
        <v>960000</v>
      </c>
      <c r="D20" s="12" t="n">
        <f aca="false">D10-D18</f>
        <v>1340000</v>
      </c>
      <c r="E20" s="12" t="n">
        <f aca="false">E10-E18</f>
        <v>1210000</v>
      </c>
      <c r="F20" s="12" t="n">
        <f aca="false">F10-F18</f>
        <v>1170000</v>
      </c>
      <c r="G20" s="12" t="n">
        <f aca="false">G10-G18</f>
        <v>1450000</v>
      </c>
      <c r="H20" s="12" t="n">
        <f aca="false">H10-H18</f>
        <v>6280000</v>
      </c>
    </row>
    <row r="21" customFormat="false" ht="15" hidden="false" customHeight="false" outlineLevel="0" collapsed="false">
      <c r="A21" s="8" t="s">
        <v>23</v>
      </c>
      <c r="B21" s="17" t="n">
        <f aca="false">$B$4+B20</f>
        <v>5190000</v>
      </c>
      <c r="C21" s="17" t="n">
        <f aca="false">B21+C20</f>
        <v>6150000</v>
      </c>
      <c r="D21" s="17" t="n">
        <f aca="false">C21+D20</f>
        <v>7490000</v>
      </c>
      <c r="E21" s="17" t="n">
        <f aca="false">D21+E20</f>
        <v>8700000</v>
      </c>
      <c r="F21" s="17" t="n">
        <f aca="false">E21+F20</f>
        <v>9870000</v>
      </c>
      <c r="G21" s="17" t="n">
        <f aca="false">F21+G20</f>
        <v>11320000</v>
      </c>
      <c r="H21" s="17" t="n">
        <f aca="false">G21</f>
        <v>11320000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18" t="s">
        <v>25</v>
      </c>
      <c r="B3" s="19" t="n">
        <v>50000</v>
      </c>
    </row>
    <row r="5" customFormat="false" ht="15" hidden="false" customHeight="false" outlineLevel="0" collapsed="false">
      <c r="A5" s="20" t="s">
        <v>26</v>
      </c>
      <c r="B5" s="20" t="s">
        <v>27</v>
      </c>
      <c r="C5" s="20" t="s">
        <v>28</v>
      </c>
      <c r="D5" s="20" t="s">
        <v>29</v>
      </c>
      <c r="E5" s="20" t="s">
        <v>30</v>
      </c>
    </row>
    <row r="6" customFormat="false" ht="15" hidden="false" customHeight="false" outlineLevel="0" collapsed="false">
      <c r="A6" s="18" t="s">
        <v>4</v>
      </c>
      <c r="B6" s="19" t="n">
        <v>36</v>
      </c>
      <c r="C6" s="21" t="n">
        <f aca="false">B6*$B$3</f>
        <v>1800000</v>
      </c>
      <c r="D6" s="22" t="n">
        <f aca="false">'Recettes et dépenses'!B8</f>
        <v>1350000</v>
      </c>
      <c r="E6" s="23" t="n">
        <f aca="false">IF(C6=0,0,D6/C6)</f>
        <v>0.75</v>
      </c>
    </row>
    <row r="7" customFormat="false" ht="15" hidden="false" customHeight="false" outlineLevel="0" collapsed="false">
      <c r="A7" s="18" t="s">
        <v>5</v>
      </c>
      <c r="B7" s="19" t="n">
        <v>37</v>
      </c>
      <c r="C7" s="21" t="n">
        <f aca="false">B7*$B$3</f>
        <v>1850000</v>
      </c>
      <c r="D7" s="22" t="n">
        <f aca="false">'Recettes et dépenses'!C8</f>
        <v>1500000</v>
      </c>
      <c r="E7" s="23" t="n">
        <f aca="false">IF(C7=0,0,D7/C7)</f>
        <v>0.810810810810811</v>
      </c>
    </row>
    <row r="8" customFormat="false" ht="15" hidden="false" customHeight="false" outlineLevel="0" collapsed="false">
      <c r="A8" s="18" t="s">
        <v>6</v>
      </c>
      <c r="B8" s="19" t="n">
        <v>38</v>
      </c>
      <c r="C8" s="21" t="n">
        <f aca="false">B8*$B$3</f>
        <v>1900000</v>
      </c>
      <c r="D8" s="22" t="n">
        <f aca="false">'Recettes et dépenses'!D8</f>
        <v>1550000</v>
      </c>
      <c r="E8" s="23" t="n">
        <f aca="false">IF(C8=0,0,D8/C8)</f>
        <v>0.815789473684211</v>
      </c>
    </row>
    <row r="9" customFormat="false" ht="15" hidden="false" customHeight="false" outlineLevel="0" collapsed="false">
      <c r="A9" s="18" t="s">
        <v>7</v>
      </c>
      <c r="B9" s="19" t="n">
        <v>39</v>
      </c>
      <c r="C9" s="21" t="n">
        <f aca="false">B9*$B$3</f>
        <v>1950000</v>
      </c>
      <c r="D9" s="22" t="n">
        <f aca="false">'Recettes et dépenses'!E8</f>
        <v>1500000</v>
      </c>
      <c r="E9" s="23" t="n">
        <f aca="false">IF(C9=0,0,D9/C9)</f>
        <v>0.769230769230769</v>
      </c>
    </row>
    <row r="10" customFormat="false" ht="15" hidden="false" customHeight="false" outlineLevel="0" collapsed="false">
      <c r="A10" s="18" t="s">
        <v>8</v>
      </c>
      <c r="B10" s="19" t="n">
        <v>40</v>
      </c>
      <c r="C10" s="21" t="n">
        <f aca="false">B10*$B$3</f>
        <v>2000000</v>
      </c>
      <c r="D10" s="22" t="n">
        <f aca="false">'Recettes et dépenses'!F8</f>
        <v>1600000</v>
      </c>
      <c r="E10" s="23" t="n">
        <f aca="false">IF(C10=0,0,D10/C10)</f>
        <v>0.8</v>
      </c>
    </row>
    <row r="11" customFormat="false" ht="15" hidden="false" customHeight="false" outlineLevel="0" collapsed="false">
      <c r="A11" s="18" t="s">
        <v>9</v>
      </c>
      <c r="B11" s="19" t="n">
        <v>41</v>
      </c>
      <c r="C11" s="21" t="n">
        <f aca="false">B11*$B$3</f>
        <v>2050000</v>
      </c>
      <c r="D11" s="22" t="n">
        <f aca="false">'Recettes et dépenses'!G8</f>
        <v>1600000</v>
      </c>
      <c r="E11" s="23" t="n">
        <f aca="false">IF(C11=0,0,D11/C11)</f>
        <v>0.780487804878049</v>
      </c>
    </row>
    <row r="12" customFormat="false" ht="15" hidden="false" customHeight="false" outlineLevel="0" collapsed="false">
      <c r="A12" s="3" t="s">
        <v>31</v>
      </c>
      <c r="C12" s="24" t="n">
        <f aca="false">SUM(C6:C11)</f>
        <v>11550000</v>
      </c>
      <c r="D12" s="24" t="n">
        <f aca="false">SUM(D6:D11)</f>
        <v>9100000</v>
      </c>
      <c r="E12" s="25" t="n">
        <f aca="false">IF(C12=0,0,D12/C12)</f>
        <v>0.787878787878788</v>
      </c>
    </row>
    <row r="14" customFormat="false" ht="15" hidden="false" customHeight="false" outlineLevel="0" collapsed="false">
      <c r="A14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2026-09-23T14:52:38Z</dcterms:created>
  <dc:creator>openpyxl</dc:creator>
  <dc:description/>
  <dc:language>en-US</dc:language>
  <cp:lastModifiedBy/>
  <dcterms:modified xsi:type="dcterms:W3CDTF">2026-09-23T14:52:38Z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